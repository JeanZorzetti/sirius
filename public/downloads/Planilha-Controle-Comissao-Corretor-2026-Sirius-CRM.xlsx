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Vendas" sheetId="1" r:id="rId5"/>
    <sheet state="visible" name="Dashboard" sheetId="2" r:id="rId6"/>
    <sheet state="visible" name="Calculadora ROI" sheetId="3" r:id="rId7"/>
    <sheet state="visible" name="📖 Instruções" sheetId="4" r:id="rId8"/>
  </sheets>
  <definedNames/>
  <calcPr/>
</workbook>
</file>

<file path=xl/sharedStrings.xml><?xml version="1.0" encoding="utf-8"?>
<sst xmlns="http://schemas.openxmlformats.org/spreadsheetml/2006/main" count="241" uniqueCount="235">
  <si>
    <t>Data</t>
  </si>
  <si>
    <t>Cliente</t>
  </si>
  <si>
    <t>Tipo Imóvel</t>
  </si>
  <si>
    <t>Localização</t>
  </si>
  <si>
    <t>Valor Venda (R$)</t>
  </si>
  <si>
    <t>% Comissão</t>
  </si>
  <si>
    <t>Comissão (R$)</t>
  </si>
  <si>
    <t>Status</t>
  </si>
  <si>
    <t>Observações</t>
  </si>
  <si>
    <t>05/01/2026</t>
  </si>
  <si>
    <t>João Silva</t>
  </si>
  <si>
    <t>Apartamento 70m²</t>
  </si>
  <si>
    <t>Vila Mariana - SP</t>
  </si>
  <si>
    <t>Fechado</t>
  </si>
  <si>
    <t>Cliente indicação</t>
  </si>
  <si>
    <t>08/01/2026</t>
  </si>
  <si>
    <t>Maria Santos</t>
  </si>
  <si>
    <t>Casa 120m²</t>
  </si>
  <si>
    <t>Moema - SP</t>
  </si>
  <si>
    <t>Venda rápida</t>
  </si>
  <si>
    <t>12/01/2026</t>
  </si>
  <si>
    <t>Pedro Costa</t>
  </si>
  <si>
    <t>Apartamento 50m²</t>
  </si>
  <si>
    <t>Tatuapé - SP</t>
  </si>
  <si>
    <t>Negociação</t>
  </si>
  <si>
    <t>Aguardando financiamento</t>
  </si>
  <si>
    <t>15/01/2026</t>
  </si>
  <si>
    <t>Ana Lima</t>
  </si>
  <si>
    <t>Apartamento 85m² (Lançamento)</t>
  </si>
  <si>
    <t>Pinheiros - SP</t>
  </si>
  <si>
    <t>Proposta</t>
  </si>
  <si>
    <t>Construtora parceira</t>
  </si>
  <si>
    <t>18/01/2026</t>
  </si>
  <si>
    <t>Carlos Oliveira</t>
  </si>
  <si>
    <t>Casa 200m²</t>
  </si>
  <si>
    <t>Brooklin - SP</t>
  </si>
  <si>
    <t>Alto padrão</t>
  </si>
  <si>
    <t>20/01/2026</t>
  </si>
  <si>
    <t>Juliana Ferreira</t>
  </si>
  <si>
    <t>Apartamento 65m²</t>
  </si>
  <si>
    <t>Santana - SP</t>
  </si>
  <si>
    <t>Perdido</t>
  </si>
  <si>
    <t>Cliente desistiu</t>
  </si>
  <si>
    <t>22/01/2026</t>
  </si>
  <si>
    <t>Roberto Alves</t>
  </si>
  <si>
    <t>Cobertura 150m²</t>
  </si>
  <si>
    <t>Jardins - SP</t>
  </si>
  <si>
    <t>Aguardando vistoria</t>
  </si>
  <si>
    <t>25/01/2026</t>
  </si>
  <si>
    <t>Fernanda Souza</t>
  </si>
  <si>
    <t>Apartamento 55m²</t>
  </si>
  <si>
    <t>Mooca - SP</t>
  </si>
  <si>
    <t>Primeira compra</t>
  </si>
  <si>
    <t>27/01/2026</t>
  </si>
  <si>
    <t>Lucas Martins</t>
  </si>
  <si>
    <t>Casa 180m² (Lançamento)</t>
  </si>
  <si>
    <t>Vila Madalena - SP</t>
  </si>
  <si>
    <t>Lançamento exclusivo</t>
  </si>
  <si>
    <t>29/01/2026</t>
  </si>
  <si>
    <t>Patrícia Rocha</t>
  </si>
  <si>
    <t>Apartamento 45m² (Studio)</t>
  </si>
  <si>
    <t>República - SP</t>
  </si>
  <si>
    <t>Qualificação</t>
  </si>
  <si>
    <t>Investidor</t>
  </si>
  <si>
    <t>30/01/2026</t>
  </si>
  <si>
    <t>Ricardo Nunes</t>
  </si>
  <si>
    <t>Casa 250m²</t>
  </si>
  <si>
    <t>Morumbi - SP</t>
  </si>
  <si>
    <t>Imóvel de luxo</t>
  </si>
  <si>
    <t>TOTAL VENDAS FECHADAS:</t>
  </si>
  <si>
    <t>TOTAL EM NEGOCIAÇÃO:</t>
  </si>
  <si>
    <t>TOTAL GERAL (Pipeline):</t>
  </si>
  <si>
    <t>📊 DASHBOARD - JANEIRO 2026</t>
  </si>
  <si>
    <t>RESUMO DO MÊS</t>
  </si>
  <si>
    <t>Total de Leads:</t>
  </si>
  <si>
    <t>(todos os clientes cadastrados)</t>
  </si>
  <si>
    <t>Vendas Fechadas:</t>
  </si>
  <si>
    <t>(status = Fechado)</t>
  </si>
  <si>
    <t>Em Negociação:</t>
  </si>
  <si>
    <t>(oportunidades ativas)</t>
  </si>
  <si>
    <t>Perdidos:</t>
  </si>
  <si>
    <t>(não convertidos)</t>
  </si>
  <si>
    <t>RECEITA</t>
  </si>
  <si>
    <t>Comissões Recebidas:</t>
  </si>
  <si>
    <t>(vendas fechadas)</t>
  </si>
  <si>
    <t>Comissões em Negociação:</t>
  </si>
  <si>
    <t>(potencial a receber)</t>
  </si>
  <si>
    <t>Total Potencial:</t>
  </si>
  <si>
    <t>(se fechar tudo)</t>
  </si>
  <si>
    <t>PERFORMANCE</t>
  </si>
  <si>
    <t>Taxa de Conversão:</t>
  </si>
  <si>
    <t>(% de fechamento)</t>
  </si>
  <si>
    <t>Ticket Médio:</t>
  </si>
  <si>
    <t>(comissão média por venda)</t>
  </si>
  <si>
    <t>Ticket Médio Imóveis:</t>
  </si>
  <si>
    <t>(valor médio imóveis vendidos)</t>
  </si>
  <si>
    <t>META DO MÊS</t>
  </si>
  <si>
    <t>Meta de Vendas:</t>
  </si>
  <si>
    <t>(quantas vendas você quer fechar)</t>
  </si>
  <si>
    <t>Meta Atingida:</t>
  </si>
  <si>
    <t>(% da meta alcançada)</t>
  </si>
  <si>
    <t>Faltam:</t>
  </si>
  <si>
    <t>(vendas para bater meta)</t>
  </si>
  <si>
    <t>🎯 OPORTUNIDADE PERDIDA</t>
  </si>
  <si>
    <t>Leads Perdidos:</t>
  </si>
  <si>
    <t>Valor Potencial Perdido:</t>
  </si>
  <si>
    <t>💡 Se tivesse fechado esses leads:</t>
  </si>
  <si>
    <t>(sua receita seria)</t>
  </si>
  <si>
    <t>⚠️ ALERTA: Você está PERDENDO dinheiro por desorganização!</t>
  </si>
  <si>
    <t>Um CRM organiza seus leads e te lembra de fazer follow-up.</t>
  </si>
  <si>
    <r>
      <rPr/>
      <t xml:space="preserve">→ Teste o Sirius CRM gratuitamente: </t>
    </r>
    <r>
      <rPr>
        <color rgb="FF1155CC"/>
        <u/>
      </rPr>
      <t>https://www.sirius.roilabs.com.br</t>
    </r>
  </si>
  <si>
    <t>💰 CALCULADORA: QUANTO VOCÊ ESTÁ PERDENDO POR MÊS?</t>
  </si>
  <si>
    <t>Responda as perguntas abaixo:</t>
  </si>
  <si>
    <t>SEUS NÚMEROS ↓</t>
  </si>
  <si>
    <t>1. Quantos LEADS você recebe por mês?</t>
  </si>
  <si>
    <t>leads/mês</t>
  </si>
  <si>
    <t>2. Quantos desses você FECHA (converte)?</t>
  </si>
  <si>
    <t>vendas/mês</t>
  </si>
  <si>
    <t>3. Qual seu TICKET MÉDIO de comissão?</t>
  </si>
  <si>
    <t>R$ por venda</t>
  </si>
  <si>
    <t>📊 RESULTADOS:</t>
  </si>
  <si>
    <t>Sua taxa de conversão atual:</t>
  </si>
  <si>
    <t>Comissões que você RECEBE por mês:</t>
  </si>
  <si>
    <t>🎯 SE VOCÊ MELHORASSE A ORGANIZAÇÃO:</t>
  </si>
  <si>
    <t>Taxa de conversão com CRM:</t>
  </si>
  <si>
    <t>35% (benchmark do mercado)</t>
  </si>
  <si>
    <t>Vendas que você PODERIA fechar:</t>
  </si>
  <si>
    <t>Comissões que você PODERIA receber:</t>
  </si>
  <si>
    <t>💸 QUANTO VOCÊ ESTÁ PERDENDO:</t>
  </si>
  <si>
    <t>Comissões PERDIDAS por mês:</t>
  </si>
  <si>
    <t>Comissões PERDIDAS por ano:</t>
  </si>
  <si>
    <t>🚨 ISSO É DINHEIRO QUE ESTÁ SAINDO DO SEU BOLSO!</t>
  </si>
  <si>
    <t>A causa? Desorganização:</t>
  </si>
  <si>
    <t xml:space="preserve">   ✗ Leads espalhados (WhatsApp, papel, memória)</t>
  </si>
  <si>
    <t xml:space="preserve">   ✗ Esquecimento de follow-ups</t>
  </si>
  <si>
    <t xml:space="preserve">   ✗ Sem priorização (você liga para quem?)</t>
  </si>
  <si>
    <t xml:space="preserve">   ✗ Perda de contexto (quem é esse cliente?)</t>
  </si>
  <si>
    <t>A solução? Sirius CRM:</t>
  </si>
  <si>
    <t xml:space="preserve">   ✓ Todos os leads em um só lugar</t>
  </si>
  <si>
    <t xml:space="preserve">   ✓ Lembretes automáticos de follow-up</t>
  </si>
  <si>
    <t xml:space="preserve">   ✓ IA te diz quais leads priorizar</t>
  </si>
  <si>
    <t xml:space="preserve">   ✓ Histórico completo de cada cliente</t>
  </si>
  <si>
    <t>💎 INVESTIMENTO:</t>
  </si>
  <si>
    <t>R$ 49/mês (ou GRÁTIS para começar)</t>
  </si>
  <si>
    <t>💰 RETORNO:</t>
  </si>
  <si>
    <t>📈 ROI:</t>
  </si>
  <si>
    <r>
      <rPr/>
      <t xml:space="preserve">👉 Teste grátis (sem cartão): </t>
    </r>
    <r>
      <rPr>
        <color rgb="FF1155CC"/>
        <u/>
      </rPr>
      <t>https://www.sirius.roilabs.com.br</t>
    </r>
  </si>
  <si>
    <t>📖 COMO USAR ESTA PLANILHA</t>
  </si>
  <si>
    <t>BEM-VINDO, CORRETOR(A)!</t>
  </si>
  <si>
    <t>Esta planilha foi criada para te ajudar a:</t>
  </si>
  <si>
    <t>✓ Organizar todas as suas vendas em um só lugar</t>
  </si>
  <si>
    <t>✓ Calcular comissões automaticamente</t>
  </si>
  <si>
    <t>✓ Acompanhar seu desempenho mensal</t>
  </si>
  <si>
    <t>✓ Descobrir quanto dinheiro você está perdendo por desorganização</t>
  </si>
  <si>
    <t>🗂️ ESTRUTURA DA PLANILHA:</t>
  </si>
  <si>
    <t>1️⃣ CONTROLE DE VENDAS</t>
  </si>
  <si>
    <t xml:space="preserve">   → Registre cada cliente e venda aqui</t>
  </si>
  <si>
    <t xml:space="preserve">   → As comissões são calculadas automaticamente</t>
  </si>
  <si>
    <t xml:space="preserve">   → Atualize o Status conforme o cliente avança</t>
  </si>
  <si>
    <t>2️⃣ DASHBOARD</t>
  </si>
  <si>
    <t xml:space="preserve">   → Visão geral do mês (vendas, comissões, metas)</t>
  </si>
  <si>
    <t xml:space="preserve">   → Atualiza automaticamente conforme você registra vendas</t>
  </si>
  <si>
    <t xml:space="preserve">   → Use para entender sua performance</t>
  </si>
  <si>
    <t>3️⃣ CALCULADORA</t>
  </si>
  <si>
    <t xml:space="preserve">   → Descubra quanto você está perdendo por desorganização</t>
  </si>
  <si>
    <t xml:space="preserve">   → Preencha seus números reais</t>
  </si>
  <si>
    <t xml:space="preserve">   → Veja o impacto financeiro real</t>
  </si>
  <si>
    <t>📝 COMO USAR - PASSO A PASSO:</t>
  </si>
  <si>
    <t>PASSO 1: Vá na aba "Controle de Vendas"</t>
  </si>
  <si>
    <t>PASSO 2: Adicione uma nova linha para cada cliente/lead</t>
  </si>
  <si>
    <t>PASSO 3: Preencha: Data, Nome, Tipo de Imóvel, Localização, Valor</t>
  </si>
  <si>
    <t>PASSO 4: Defina a % de Comissão (geralmente 5% ou 6%)</t>
  </si>
  <si>
    <t>PASSO 5: A comissão em R$ calcula sozinha!</t>
  </si>
  <si>
    <t>PASSO 6: Atualize o Status (Qualificação → Proposta → Negociação → Fechado)</t>
  </si>
  <si>
    <t>PASSO 7: Vá no Dashboard e veja seus números!</t>
  </si>
  <si>
    <t>🎯 STATUS RECOMENDADOS:</t>
  </si>
  <si>
    <t>• Qualificação: Cliente demonstrou interesse, coletando informações</t>
  </si>
  <si>
    <t>• Proposta: Já apresentou o imóvel, aguardando decisão</t>
  </si>
  <si>
    <t>• Negociação: Cliente interessado, negociando condições</t>
  </si>
  <si>
    <t>• Fechado: Venda concretizada! 🎉</t>
  </si>
  <si>
    <t>• Perdido: Cliente desistiu ou comprou com concorrente</t>
  </si>
  <si>
    <t>⚠️ LIMITAÇÕES DESTA PLANILHA:</t>
  </si>
  <si>
    <t>❌ Você precisa LEMBRAR de atualizar manualmente</t>
  </si>
  <si>
    <t>❌ Se esquecer um cliente, ele fica de fora</t>
  </si>
  <si>
    <t>❌ Não te avisa quando fazer follow-up</t>
  </si>
  <si>
    <t>❌ Não mostra histórico de conversas</t>
  </si>
  <si>
    <t>❌ Não integra com WhatsApp</t>
  </si>
  <si>
    <t>❌ Não tem IA para qualificar leads</t>
  </si>
  <si>
    <t>💡 SOLUÇÃO: SIRIUS CRM</t>
  </si>
  <si>
    <t>O que um CRM faz que uma planilha não faz:</t>
  </si>
  <si>
    <t>✅ ORGANIZAÇÃO VISUAL</t>
  </si>
  <si>
    <t xml:space="preserve">   → Pipeline Kanban (arrasta e solta)</t>
  </si>
  <si>
    <t xml:space="preserve">   → Vê todos os clientes de uma vez</t>
  </si>
  <si>
    <t>✅ AUTOMAÇÃO</t>
  </si>
  <si>
    <t xml:space="preserve">   → Lembretes automáticos de follow-up</t>
  </si>
  <si>
    <t xml:space="preserve">   → Emails automáticos para clientes</t>
  </si>
  <si>
    <t xml:space="preserve">   → Integração WhatsApp (1 clique para conversar)</t>
  </si>
  <si>
    <t>✅ INTELIGÊNCIA ARTIFICIAL</t>
  </si>
  <si>
    <t xml:space="preserve">   → IA analisa quais leads têm mais chance de fechar</t>
  </si>
  <si>
    <t xml:space="preserve">   → Sugere próximos passos</t>
  </si>
  <si>
    <t xml:space="preserve">   → Qualifica leads automaticamente (BANT)</t>
  </si>
  <si>
    <t>✅ MOBILE</t>
  </si>
  <si>
    <t xml:space="preserve">   → App no celular (funciona offline)</t>
  </si>
  <si>
    <t xml:space="preserve">   → Registra visita na hora</t>
  </si>
  <si>
    <t xml:space="preserve">   → Sincroniza com Google Calendar</t>
  </si>
  <si>
    <t>✅ ANALYTICS</t>
  </si>
  <si>
    <t xml:space="preserve">   → Gráficos automáticos</t>
  </si>
  <si>
    <t xml:space="preserve">   → Previsão de receita</t>
  </si>
  <si>
    <t xml:space="preserve">   → Identifica gargalos</t>
  </si>
  <si>
    <t>💰 QUANTO CUSTA?</t>
  </si>
  <si>
    <t>PLANO FREE (para sempre):</t>
  </si>
  <si>
    <t>✓ Até 100 deals/mês</t>
  </si>
  <si>
    <t>✓ Pipeline Kanban</t>
  </si>
  <si>
    <t>✓ WhatsApp integrado</t>
  </si>
  <si>
    <t>✓ Sem limite de tempo</t>
  </si>
  <si>
    <t>PLANO PRO (R$ 97/mês):</t>
  </si>
  <si>
    <t>✓ Deals ilimitados</t>
  </si>
  <si>
    <t>✓ IA que qualifica leads</t>
  </si>
  <si>
    <t>✓ Automações de email</t>
  </si>
  <si>
    <t>✓ Multi-pipeline</t>
  </si>
  <si>
    <t>✓ Analytics avançado</t>
  </si>
  <si>
    <t>🚀 COMECE AGORA (GRÁTIS):</t>
  </si>
  <si>
    <t>1. Acesse: sirius.roilabs.com.br</t>
  </si>
  <si>
    <t>2. Cadastre-se (email + senha)</t>
  </si>
  <si>
    <t>3. Comece a usar em 5 minutos</t>
  </si>
  <si>
    <t>4. Importe seus leads desta planilha (CSV)</t>
  </si>
  <si>
    <t>5. Teste GRÁTIS por tempo ILIMITADO</t>
  </si>
  <si>
    <t>6. Upgrade só se quiser (sem compromisso)</t>
  </si>
  <si>
    <t>📞 SUPORTE:</t>
  </si>
  <si>
    <t>Dúvidas? Fale com a gente:</t>
  </si>
  <si>
    <t>Email: suporte@sirius.roilabs.com.br</t>
  </si>
  <si>
    <t>Site: sirius.roilabs.com.br</t>
  </si>
  <si>
    <t>⭐ Esta planilha foi criada por: ROI Labs</t>
  </si>
  <si>
    <t>💙 Ajudamos corretores a venderem mais com tecnologia.</t>
  </si>
  <si>
    <t>Boa sorte nas vendas! 🏡💰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</si>
</sst>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rius.roilabs.com.br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rius.roilabs.com.br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20.78"/>
    <col customWidth="1" min="3" max="3" width="25.78"/>
    <col customWidth="1" min="4" max="4" width="22.78"/>
    <col customWidth="1" min="5" max="5" width="18.78"/>
    <col customWidth="1" min="6" max="6" width="13.78"/>
    <col customWidth="1" min="7" max="7" width="16.78"/>
    <col customWidth="1" min="8" max="8" width="14.78"/>
    <col customWidth="1" min="9" max="9" width="25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>
        <v>680000.0</v>
      </c>
      <c r="F2" s="3">
        <v>0.06</v>
      </c>
      <c r="G2" s="2">
        <f t="shared" ref="G2:G12" si="1">E2*F2</f>
        <v>40800</v>
      </c>
      <c r="H2" s="1" t="s">
        <v>13</v>
      </c>
      <c r="I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2">
        <v>1150000.0</v>
      </c>
      <c r="F3" s="3">
        <v>0.06</v>
      </c>
      <c r="G3" s="2">
        <f t="shared" si="1"/>
        <v>69000</v>
      </c>
      <c r="H3" s="1" t="s">
        <v>13</v>
      </c>
      <c r="I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2">
        <v>380000.0</v>
      </c>
      <c r="F4" s="3">
        <v>0.05</v>
      </c>
      <c r="G4" s="2">
        <f t="shared" si="1"/>
        <v>19000</v>
      </c>
      <c r="H4" s="1" t="s">
        <v>24</v>
      </c>
      <c r="I4" s="1" t="s">
        <v>25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2">
        <v>920000.0</v>
      </c>
      <c r="F5" s="3">
        <v>0.04</v>
      </c>
      <c r="G5" s="2">
        <f t="shared" si="1"/>
        <v>36800</v>
      </c>
      <c r="H5" s="1" t="s">
        <v>30</v>
      </c>
      <c r="I5" s="1" t="s">
        <v>31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2">
        <v>1580000.0</v>
      </c>
      <c r="F6" s="3">
        <v>0.06</v>
      </c>
      <c r="G6" s="2">
        <f t="shared" si="1"/>
        <v>94800</v>
      </c>
      <c r="H6" s="1" t="s">
        <v>13</v>
      </c>
      <c r="I6" s="1" t="s">
        <v>36</v>
      </c>
    </row>
    <row r="7">
      <c r="A7" s="1" t="s">
        <v>37</v>
      </c>
      <c r="B7" s="1" t="s">
        <v>38</v>
      </c>
      <c r="C7" s="1" t="s">
        <v>39</v>
      </c>
      <c r="D7" s="1" t="s">
        <v>40</v>
      </c>
      <c r="E7" s="2">
        <v>480000.0</v>
      </c>
      <c r="F7" s="3">
        <v>0.06</v>
      </c>
      <c r="G7" s="2">
        <f t="shared" si="1"/>
        <v>28800</v>
      </c>
      <c r="H7" s="1" t="s">
        <v>41</v>
      </c>
      <c r="I7" s="1" t="s">
        <v>42</v>
      </c>
    </row>
    <row r="8">
      <c r="A8" s="1" t="s">
        <v>43</v>
      </c>
      <c r="B8" s="1" t="s">
        <v>44</v>
      </c>
      <c r="C8" s="1" t="s">
        <v>45</v>
      </c>
      <c r="D8" s="1" t="s">
        <v>46</v>
      </c>
      <c r="E8" s="2">
        <v>2300000.0</v>
      </c>
      <c r="F8" s="3">
        <v>0.05</v>
      </c>
      <c r="G8" s="2">
        <f t="shared" si="1"/>
        <v>115000</v>
      </c>
      <c r="H8" s="1" t="s">
        <v>24</v>
      </c>
      <c r="I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2">
        <v>420000.0</v>
      </c>
      <c r="F9" s="3">
        <v>0.06</v>
      </c>
      <c r="G9" s="2">
        <f t="shared" si="1"/>
        <v>25200</v>
      </c>
      <c r="H9" s="1" t="s">
        <v>13</v>
      </c>
      <c r="I9" s="1" t="s">
        <v>52</v>
      </c>
    </row>
    <row r="10">
      <c r="A10" s="1" t="s">
        <v>53</v>
      </c>
      <c r="B10" s="1" t="s">
        <v>54</v>
      </c>
      <c r="C10" s="1" t="s">
        <v>55</v>
      </c>
      <c r="D10" s="1" t="s">
        <v>56</v>
      </c>
      <c r="E10" s="2">
        <v>1680000.0</v>
      </c>
      <c r="F10" s="3">
        <v>0.04</v>
      </c>
      <c r="G10" s="2">
        <f t="shared" si="1"/>
        <v>67200</v>
      </c>
      <c r="H10" s="1" t="s">
        <v>30</v>
      </c>
      <c r="I10" s="1" t="s">
        <v>57</v>
      </c>
    </row>
    <row r="11">
      <c r="A11" s="1" t="s">
        <v>58</v>
      </c>
      <c r="B11" s="1" t="s">
        <v>59</v>
      </c>
      <c r="C11" s="1" t="s">
        <v>60</v>
      </c>
      <c r="D11" s="1" t="s">
        <v>61</v>
      </c>
      <c r="E11" s="2">
        <v>285000.0</v>
      </c>
      <c r="F11" s="3">
        <v>0.06</v>
      </c>
      <c r="G11" s="2">
        <f t="shared" si="1"/>
        <v>17100</v>
      </c>
      <c r="H11" s="1" t="s">
        <v>62</v>
      </c>
      <c r="I11" s="1" t="s">
        <v>63</v>
      </c>
    </row>
    <row r="12">
      <c r="A12" s="1" t="s">
        <v>64</v>
      </c>
      <c r="B12" s="1" t="s">
        <v>65</v>
      </c>
      <c r="C12" s="1" t="s">
        <v>66</v>
      </c>
      <c r="D12" s="1" t="s">
        <v>67</v>
      </c>
      <c r="E12" s="2">
        <v>3200000.0</v>
      </c>
      <c r="F12" s="3">
        <v>0.05</v>
      </c>
      <c r="G12" s="2">
        <f t="shared" si="1"/>
        <v>160000</v>
      </c>
      <c r="H12" s="1" t="s">
        <v>24</v>
      </c>
      <c r="I12" s="1" t="s">
        <v>68</v>
      </c>
    </row>
    <row r="14">
      <c r="D14" s="1" t="s">
        <v>69</v>
      </c>
      <c r="E14" s="2">
        <f>SUMIF(H2:H12,"Fechado",E2:E12)</f>
        <v>3830000</v>
      </c>
      <c r="F14" s="4"/>
      <c r="G14" s="2">
        <f>SUMIF(H2:H12,"Negociação",G2:G12)</f>
        <v>294000</v>
      </c>
    </row>
    <row r="15">
      <c r="D15" s="1" t="s">
        <v>70</v>
      </c>
      <c r="E15" s="2">
        <f>SUMIF(H2:H12,"Negociação",E2:E12)</f>
        <v>5880000</v>
      </c>
      <c r="F15" s="4"/>
      <c r="G15" s="2">
        <f>SUMIF(H2:H12,"Negociação",G2:G12)</f>
        <v>294000</v>
      </c>
    </row>
    <row r="16">
      <c r="D16" s="1" t="s">
        <v>71</v>
      </c>
      <c r="E16" s="2">
        <f>SUM(E2:E12)</f>
        <v>13075000</v>
      </c>
      <c r="F16" s="4"/>
      <c r="G16" s="2">
        <f>SUM(G2:G12)</f>
        <v>673700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0.78"/>
    <col customWidth="1" min="2" max="2" width="14.89"/>
    <col customWidth="1" min="3" max="3" width="3.78"/>
    <col customWidth="1" min="4" max="4" width="35.78"/>
  </cols>
  <sheetData>
    <row r="1">
      <c r="A1" s="1" t="s">
        <v>72</v>
      </c>
    </row>
    <row r="3">
      <c r="A3" s="1" t="s">
        <v>73</v>
      </c>
    </row>
    <row r="4">
      <c r="A4" s="1" t="s">
        <v>74</v>
      </c>
      <c r="B4" s="1">
        <v>11.0</v>
      </c>
      <c r="D4" s="1" t="s">
        <v>75</v>
      </c>
    </row>
    <row r="5">
      <c r="A5" s="1" t="s">
        <v>76</v>
      </c>
      <c r="B5" s="1">
        <f>COUNTIF('Controle de Vendas'!H2:H12, "*Fechado*")</f>
        <v>4</v>
      </c>
      <c r="D5" s="1" t="s">
        <v>77</v>
      </c>
    </row>
    <row r="6">
      <c r="A6" s="1" t="s">
        <v>78</v>
      </c>
      <c r="B6" s="1">
        <f>COUNTIF('Controle de Vendas'!H2:H12,"Negociação")</f>
        <v>3</v>
      </c>
      <c r="D6" s="1" t="s">
        <v>79</v>
      </c>
    </row>
    <row r="7">
      <c r="A7" s="1" t="s">
        <v>80</v>
      </c>
      <c r="B7" s="1">
        <f>COUNTIF('Controle de Vendas'!H2:H12,"Perdido")</f>
        <v>1</v>
      </c>
      <c r="D7" s="1" t="s">
        <v>81</v>
      </c>
    </row>
    <row r="9">
      <c r="A9" s="1" t="s">
        <v>82</v>
      </c>
    </row>
    <row r="10">
      <c r="A10" s="1" t="s">
        <v>83</v>
      </c>
      <c r="B10" s="2">
        <f>'Controle de Vendas'!G14</f>
        <v>294000</v>
      </c>
      <c r="D10" s="1" t="s">
        <v>84</v>
      </c>
    </row>
    <row r="11">
      <c r="A11" s="1" t="s">
        <v>85</v>
      </c>
      <c r="B11" s="2">
        <f>'Controle de Vendas'!G15</f>
        <v>294000</v>
      </c>
      <c r="D11" s="1" t="s">
        <v>86</v>
      </c>
    </row>
    <row r="12">
      <c r="A12" s="1" t="s">
        <v>87</v>
      </c>
      <c r="B12" s="2">
        <f>B10+B11</f>
        <v>588000</v>
      </c>
      <c r="D12" s="1" t="s">
        <v>88</v>
      </c>
    </row>
    <row r="14">
      <c r="A14" s="1" t="s">
        <v>89</v>
      </c>
    </row>
    <row r="15">
      <c r="A15" s="1" t="s">
        <v>90</v>
      </c>
      <c r="B15" s="3">
        <f>B5/B4</f>
        <v>0.3636363636</v>
      </c>
      <c r="D15" s="1" t="s">
        <v>91</v>
      </c>
    </row>
    <row r="16">
      <c r="A16" s="1" t="s">
        <v>92</v>
      </c>
      <c r="B16" s="2">
        <f>B10/B5</f>
        <v>73500</v>
      </c>
      <c r="D16" s="1" t="s">
        <v>93</v>
      </c>
    </row>
    <row r="17">
      <c r="A17" s="1" t="s">
        <v>94</v>
      </c>
      <c r="B17" s="2">
        <f>SUMIF('Controle de Vendas'!H2:H12,"Fechado",'Controle de Vendas'!E2:E12)/COUNTIF('Controle de Vendas'!H2:H12,"Fechado")</f>
        <v>957500</v>
      </c>
      <c r="D17" s="1" t="s">
        <v>95</v>
      </c>
    </row>
    <row r="19">
      <c r="A19" s="1" t="s">
        <v>96</v>
      </c>
    </row>
    <row r="20">
      <c r="A20" s="1" t="s">
        <v>97</v>
      </c>
      <c r="B20" s="1">
        <v>5.0</v>
      </c>
      <c r="D20" s="1" t="s">
        <v>98</v>
      </c>
    </row>
    <row r="21" ht="15.75" customHeight="1">
      <c r="A21" s="1" t="s">
        <v>99</v>
      </c>
      <c r="B21" s="1">
        <f>B5/B20</f>
        <v>0.8</v>
      </c>
      <c r="D21" s="1" t="s">
        <v>100</v>
      </c>
    </row>
    <row r="22" ht="15.75" customHeight="1">
      <c r="A22" s="1" t="s">
        <v>101</v>
      </c>
      <c r="B22" s="1">
        <f>B20-B5</f>
        <v>1</v>
      </c>
      <c r="D22" s="1" t="s">
        <v>102</v>
      </c>
    </row>
    <row r="23" ht="15.75" customHeight="1"/>
    <row r="24" ht="15.75" customHeight="1">
      <c r="A24" s="1" t="s">
        <v>103</v>
      </c>
    </row>
    <row r="25" ht="15.75" customHeight="1">
      <c r="A25" s="1" t="s">
        <v>104</v>
      </c>
      <c r="B25" s="1">
        <f>COUNTIF('Controle de Vendas'!H2:H12,"Perdido")</f>
        <v>1</v>
      </c>
    </row>
    <row r="26" ht="15.75" customHeight="1">
      <c r="A26" s="1" t="s">
        <v>105</v>
      </c>
      <c r="B26" s="2">
        <f>SUMIF('Controle de Vendas'!H2:H12,"Perdido",'Controle de Vendas'!G2:G12)</f>
        <v>28800</v>
      </c>
    </row>
    <row r="27" ht="15.75" customHeight="1">
      <c r="A27" s="1" t="s">
        <v>106</v>
      </c>
      <c r="B27" s="2">
        <f>B10+B26</f>
        <v>322800</v>
      </c>
      <c r="D27" s="1" t="s">
        <v>107</v>
      </c>
    </row>
    <row r="28" ht="15.75" customHeight="1"/>
    <row r="29" ht="15.75" customHeight="1">
      <c r="A29" s="1" t="s">
        <v>108</v>
      </c>
    </row>
    <row r="30" ht="15.75" customHeight="1">
      <c r="A30" s="1" t="s">
        <v>109</v>
      </c>
    </row>
    <row r="31" ht="15.75" customHeight="1">
      <c r="A31" s="5" t="s">
        <v>110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6.56"/>
    <col customWidth="1" min="2" max="2" width="15.78"/>
    <col customWidth="1" min="3" max="3" width="3.78"/>
    <col customWidth="1" min="4" max="4" width="20.78"/>
    <col customWidth="1" min="5" max="5" width="15.78"/>
  </cols>
  <sheetData>
    <row r="1">
      <c r="A1" s="1" t="s">
        <v>111</v>
      </c>
    </row>
    <row r="3">
      <c r="A3" s="1" t="s">
        <v>112</v>
      </c>
      <c r="D3" s="1" t="s">
        <v>113</v>
      </c>
    </row>
    <row r="5">
      <c r="A5" s="1" t="s">
        <v>114</v>
      </c>
      <c r="D5" s="1">
        <v>30.0</v>
      </c>
      <c r="E5" s="1" t="s">
        <v>115</v>
      </c>
    </row>
    <row r="6">
      <c r="A6" s="1" t="s">
        <v>116</v>
      </c>
      <c r="D6" s="1">
        <v>5.0</v>
      </c>
      <c r="E6" s="1" t="s">
        <v>117</v>
      </c>
    </row>
    <row r="7">
      <c r="A7" s="1" t="s">
        <v>118</v>
      </c>
      <c r="D7" s="2">
        <v>25000.0</v>
      </c>
      <c r="E7" s="1" t="s">
        <v>119</v>
      </c>
    </row>
    <row r="9">
      <c r="A9" s="1" t="s">
        <v>120</v>
      </c>
    </row>
    <row r="11">
      <c r="A11" s="1" t="s">
        <v>121</v>
      </c>
      <c r="B11" s="3">
        <f>D6/D5</f>
        <v>0.1666666667</v>
      </c>
      <c r="D11" s="1" t="str">
        <f>ROUND(B11*100.1,0)&amp;"%"</f>
        <v>17%</v>
      </c>
    </row>
    <row r="12">
      <c r="A12" s="1" t="s">
        <v>122</v>
      </c>
      <c r="B12" s="2">
        <f>D6*D7</f>
        <v>125000</v>
      </c>
      <c r="D12" s="2" t="str">
        <f>TEXT(B12,"R$ #,##0")</f>
        <v>R$ 125.000</v>
      </c>
    </row>
    <row r="14">
      <c r="A14" s="1" t="s">
        <v>123</v>
      </c>
    </row>
    <row r="16">
      <c r="A16" s="1" t="s">
        <v>124</v>
      </c>
      <c r="B16" s="3">
        <v>0.35</v>
      </c>
      <c r="D16" s="1" t="s">
        <v>125</v>
      </c>
    </row>
    <row r="17">
      <c r="A17" s="1" t="s">
        <v>126</v>
      </c>
      <c r="B17" s="1">
        <f>D5*B16</f>
        <v>10.5</v>
      </c>
      <c r="D17" s="1" t="str">
        <f>ROUND(B17,0)&amp;"vendas/mês"</f>
        <v>11vendas/mês</v>
      </c>
    </row>
    <row r="18">
      <c r="A18" s="1" t="s">
        <v>127</v>
      </c>
      <c r="B18" s="2">
        <f>B17*D7</f>
        <v>262500</v>
      </c>
      <c r="D18" s="1" t="str">
        <f>TEXT(B18,"R$ #,##0")</f>
        <v>R$ 262.500</v>
      </c>
    </row>
    <row r="20">
      <c r="A20" s="1" t="s">
        <v>128</v>
      </c>
    </row>
    <row r="21" ht="15.75" customHeight="1"/>
    <row r="22" ht="15.75" customHeight="1">
      <c r="A22" s="1" t="s">
        <v>129</v>
      </c>
      <c r="B22" s="2">
        <f>B18-B12</f>
        <v>137500</v>
      </c>
      <c r="D22" s="1" t="str">
        <f t="shared" ref="D22:D23" si="1">TEXT(B22,"R$ #,##0")</f>
        <v>R$ 137.500</v>
      </c>
    </row>
    <row r="23" ht="15.75" customHeight="1">
      <c r="A23" s="1" t="s">
        <v>130</v>
      </c>
      <c r="B23" s="2">
        <f>B22*12</f>
        <v>1650000</v>
      </c>
      <c r="D23" s="1" t="str">
        <f t="shared" si="1"/>
        <v>R$ 1.650.000</v>
      </c>
    </row>
    <row r="24" ht="15.75" customHeight="1"/>
    <row r="25" ht="15.75" customHeight="1">
      <c r="A25" s="1" t="s">
        <v>131</v>
      </c>
    </row>
    <row r="26" ht="15.75" customHeight="1"/>
    <row r="27" ht="15.75" customHeight="1">
      <c r="A27" s="1" t="s">
        <v>132</v>
      </c>
    </row>
    <row r="28" ht="15.75" customHeight="1">
      <c r="A28" s="1" t="s">
        <v>133</v>
      </c>
    </row>
    <row r="29" ht="15.75" customHeight="1">
      <c r="A29" s="1" t="s">
        <v>134</v>
      </c>
    </row>
    <row r="30" ht="15.75" customHeight="1">
      <c r="A30" s="1" t="s">
        <v>135</v>
      </c>
    </row>
    <row r="31" ht="15.75" customHeight="1">
      <c r="A31" s="1" t="s">
        <v>136</v>
      </c>
    </row>
    <row r="32" ht="15.75" customHeight="1"/>
    <row r="33" ht="15.75" customHeight="1">
      <c r="A33" s="1" t="s">
        <v>137</v>
      </c>
    </row>
    <row r="34" ht="15.75" customHeight="1">
      <c r="A34" s="1" t="s">
        <v>138</v>
      </c>
    </row>
    <row r="35" ht="15.75" customHeight="1">
      <c r="A35" s="1" t="s">
        <v>139</v>
      </c>
    </row>
    <row r="36" ht="15.75" customHeight="1">
      <c r="A36" s="1" t="s">
        <v>140</v>
      </c>
    </row>
    <row r="37" ht="15.75" customHeight="1">
      <c r="A37" s="1" t="s">
        <v>141</v>
      </c>
    </row>
    <row r="38" ht="15.75" customHeight="1"/>
    <row r="39" ht="15.75" customHeight="1">
      <c r="A39" s="1" t="s">
        <v>142</v>
      </c>
      <c r="D39" s="6" t="s">
        <v>143</v>
      </c>
    </row>
    <row r="40" ht="15.75" customHeight="1">
      <c r="A40" s="1" t="s">
        <v>144</v>
      </c>
      <c r="D40" s="1" t="str">
        <f>TEXT(B23,"R$ #,##0")&amp;" extras/mês"</f>
        <v>R$ 1.650.000 extras/mês</v>
      </c>
    </row>
    <row r="41" ht="15.75" customHeight="1">
      <c r="A41" s="1" t="s">
        <v>145</v>
      </c>
      <c r="D41" s="1" t="str">
        <f>ROUND((B23/97)*100,0)&amp;"%"</f>
        <v>1701031%</v>
      </c>
    </row>
    <row r="42" ht="15.75" customHeight="1"/>
    <row r="43" ht="15.75" customHeight="1">
      <c r="A43" s="5" t="s">
        <v>146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4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75.78"/>
  </cols>
  <sheetData>
    <row r="1">
      <c r="A1" s="1" t="s">
        <v>147</v>
      </c>
    </row>
    <row r="3">
      <c r="A3" s="1" t="s">
        <v>148</v>
      </c>
    </row>
    <row r="5">
      <c r="A5" s="1" t="s">
        <v>149</v>
      </c>
    </row>
    <row r="6">
      <c r="A6" s="1" t="s">
        <v>150</v>
      </c>
    </row>
    <row r="7">
      <c r="A7" s="1" t="s">
        <v>151</v>
      </c>
    </row>
    <row r="8">
      <c r="A8" s="1" t="s">
        <v>152</v>
      </c>
    </row>
    <row r="9">
      <c r="A9" s="1" t="s">
        <v>153</v>
      </c>
    </row>
    <row r="11">
      <c r="A11" s="1" t="s">
        <v>154</v>
      </c>
    </row>
    <row r="13">
      <c r="A13" s="1" t="s">
        <v>155</v>
      </c>
    </row>
    <row r="14">
      <c r="A14" s="1" t="s">
        <v>156</v>
      </c>
    </row>
    <row r="15">
      <c r="A15" s="1" t="s">
        <v>157</v>
      </c>
    </row>
    <row r="16">
      <c r="A16" s="1" t="s">
        <v>158</v>
      </c>
    </row>
    <row r="18">
      <c r="A18" s="1" t="s">
        <v>159</v>
      </c>
    </row>
    <row r="19">
      <c r="A19" s="1" t="s">
        <v>160</v>
      </c>
    </row>
    <row r="20">
      <c r="A20" s="1" t="s">
        <v>161</v>
      </c>
    </row>
    <row r="21" ht="15.75" customHeight="1">
      <c r="A21" s="1" t="s">
        <v>162</v>
      </c>
    </row>
    <row r="22" ht="15.75" customHeight="1"/>
    <row r="23" ht="15.75" customHeight="1">
      <c r="A23" s="1" t="s">
        <v>163</v>
      </c>
    </row>
    <row r="24" ht="15.75" customHeight="1">
      <c r="A24" s="1" t="s">
        <v>164</v>
      </c>
    </row>
    <row r="25" ht="15.75" customHeight="1">
      <c r="A25" s="1" t="s">
        <v>165</v>
      </c>
    </row>
    <row r="26" ht="15.75" customHeight="1">
      <c r="A26" s="1" t="s">
        <v>166</v>
      </c>
    </row>
    <row r="27" ht="15.75" customHeight="1"/>
    <row r="28" ht="15.75" customHeight="1">
      <c r="A28" s="1" t="s">
        <v>167</v>
      </c>
    </row>
    <row r="29" ht="15.75" customHeight="1"/>
    <row r="30" ht="15.75" customHeight="1">
      <c r="A30" s="1" t="s">
        <v>168</v>
      </c>
    </row>
    <row r="31" ht="15.75" customHeight="1">
      <c r="A31" s="1" t="s">
        <v>169</v>
      </c>
    </row>
    <row r="32" ht="15.75" customHeight="1">
      <c r="A32" s="1" t="s">
        <v>170</v>
      </c>
    </row>
    <row r="33" ht="15.75" customHeight="1">
      <c r="A33" s="1" t="s">
        <v>171</v>
      </c>
    </row>
    <row r="34" ht="15.75" customHeight="1">
      <c r="A34" s="1" t="s">
        <v>172</v>
      </c>
    </row>
    <row r="35" ht="15.75" customHeight="1">
      <c r="A35" s="1" t="s">
        <v>173</v>
      </c>
    </row>
    <row r="36" ht="15.75" customHeight="1">
      <c r="A36" s="1" t="s">
        <v>174</v>
      </c>
    </row>
    <row r="37" ht="15.75" customHeight="1"/>
    <row r="38" ht="15.75" customHeight="1">
      <c r="A38" s="1" t="s">
        <v>175</v>
      </c>
    </row>
    <row r="39" ht="15.75" customHeight="1"/>
    <row r="40" ht="15.75" customHeight="1">
      <c r="A40" s="1" t="s">
        <v>176</v>
      </c>
    </row>
    <row r="41" ht="15.75" customHeight="1">
      <c r="A41" s="1" t="s">
        <v>177</v>
      </c>
    </row>
    <row r="42" ht="15.75" customHeight="1">
      <c r="A42" s="1" t="s">
        <v>178</v>
      </c>
    </row>
    <row r="43" ht="15.75" customHeight="1">
      <c r="A43" s="1" t="s">
        <v>179</v>
      </c>
    </row>
    <row r="44" ht="15.75" customHeight="1">
      <c r="A44" s="1" t="s">
        <v>180</v>
      </c>
    </row>
    <row r="45" ht="15.75" customHeight="1"/>
    <row r="46" ht="15.75" customHeight="1">
      <c r="A46" s="1" t="s">
        <v>181</v>
      </c>
    </row>
    <row r="47" ht="15.75" customHeight="1"/>
    <row r="48" ht="15.75" customHeight="1">
      <c r="A48" s="1" t="s">
        <v>182</v>
      </c>
    </row>
    <row r="49" ht="15.75" customHeight="1">
      <c r="A49" s="1" t="s">
        <v>183</v>
      </c>
    </row>
    <row r="50" ht="15.75" customHeight="1">
      <c r="A50" s="1" t="s">
        <v>184</v>
      </c>
    </row>
    <row r="51" ht="15.75" customHeight="1">
      <c r="A51" s="1" t="s">
        <v>185</v>
      </c>
    </row>
    <row r="52" ht="15.75" customHeight="1">
      <c r="A52" s="1" t="s">
        <v>186</v>
      </c>
    </row>
    <row r="53" ht="15.75" customHeight="1">
      <c r="A53" s="1" t="s">
        <v>187</v>
      </c>
    </row>
    <row r="54" ht="15.75" customHeight="1"/>
    <row r="55" ht="15.75" customHeight="1">
      <c r="A55" s="1" t="s">
        <v>188</v>
      </c>
    </row>
    <row r="56" ht="15.75" customHeight="1"/>
    <row r="57" ht="15.75" customHeight="1">
      <c r="A57" s="1" t="s">
        <v>189</v>
      </c>
    </row>
    <row r="58" ht="15.75" customHeight="1"/>
    <row r="59" ht="15.75" customHeight="1">
      <c r="A59" s="1" t="s">
        <v>190</v>
      </c>
    </row>
    <row r="60" ht="15.75" customHeight="1">
      <c r="A60" s="1" t="s">
        <v>191</v>
      </c>
    </row>
    <row r="61" ht="15.75" customHeight="1">
      <c r="A61" s="1" t="s">
        <v>192</v>
      </c>
    </row>
    <row r="62" ht="15.75" customHeight="1"/>
    <row r="63" ht="15.75" customHeight="1">
      <c r="A63" s="1" t="s">
        <v>193</v>
      </c>
    </row>
    <row r="64" ht="15.75" customHeight="1">
      <c r="A64" s="1" t="s">
        <v>194</v>
      </c>
    </row>
    <row r="65" ht="15.75" customHeight="1">
      <c r="A65" s="1" t="s">
        <v>195</v>
      </c>
    </row>
    <row r="66" ht="15.75" customHeight="1">
      <c r="A66" s="1" t="s">
        <v>196</v>
      </c>
    </row>
    <row r="67" ht="15.75" customHeight="1"/>
    <row r="68" ht="15.75" customHeight="1">
      <c r="A68" s="1" t="s">
        <v>197</v>
      </c>
    </row>
    <row r="69" ht="15.75" customHeight="1">
      <c r="A69" s="1" t="s">
        <v>198</v>
      </c>
    </row>
    <row r="70" ht="15.75" customHeight="1">
      <c r="A70" s="1" t="s">
        <v>199</v>
      </c>
    </row>
    <row r="71" ht="15.75" customHeight="1">
      <c r="A71" s="1" t="s">
        <v>200</v>
      </c>
    </row>
    <row r="72" ht="15.75" customHeight="1"/>
    <row r="73" ht="15.75" customHeight="1">
      <c r="A73" s="1" t="s">
        <v>201</v>
      </c>
    </row>
    <row r="74" ht="15.75" customHeight="1">
      <c r="A74" s="1" t="s">
        <v>202</v>
      </c>
    </row>
    <row r="75" ht="15.75" customHeight="1">
      <c r="A75" s="1" t="s">
        <v>203</v>
      </c>
    </row>
    <row r="76" ht="15.75" customHeight="1">
      <c r="A76" s="1" t="s">
        <v>204</v>
      </c>
    </row>
    <row r="77" ht="15.75" customHeight="1"/>
    <row r="78" ht="15.75" customHeight="1">
      <c r="A78" s="1" t="s">
        <v>205</v>
      </c>
    </row>
    <row r="79" ht="15.75" customHeight="1">
      <c r="A79" s="1" t="s">
        <v>206</v>
      </c>
    </row>
    <row r="80" ht="15.75" customHeight="1">
      <c r="A80" s="1" t="s">
        <v>207</v>
      </c>
    </row>
    <row r="81" ht="15.75" customHeight="1">
      <c r="A81" s="1" t="s">
        <v>208</v>
      </c>
    </row>
    <row r="82" ht="15.75" customHeight="1"/>
    <row r="83" ht="15.75" customHeight="1">
      <c r="A83" s="1" t="s">
        <v>209</v>
      </c>
    </row>
    <row r="84" ht="15.75" customHeight="1"/>
    <row r="85" ht="15.75" customHeight="1">
      <c r="A85" s="1" t="s">
        <v>210</v>
      </c>
    </row>
    <row r="86" ht="15.75" customHeight="1">
      <c r="A86" s="1" t="s">
        <v>211</v>
      </c>
    </row>
    <row r="87" ht="15.75" customHeight="1">
      <c r="A87" s="1" t="s">
        <v>212</v>
      </c>
    </row>
    <row r="88" ht="15.75" customHeight="1">
      <c r="A88" s="1" t="s">
        <v>213</v>
      </c>
    </row>
    <row r="89" ht="15.75" customHeight="1">
      <c r="A89" s="1" t="s">
        <v>214</v>
      </c>
    </row>
    <row r="90" ht="15.75" customHeight="1"/>
    <row r="91" ht="15.75" customHeight="1">
      <c r="A91" s="1" t="s">
        <v>215</v>
      </c>
    </row>
    <row r="92" ht="15.75" customHeight="1">
      <c r="A92" s="1" t="s">
        <v>216</v>
      </c>
    </row>
    <row r="93" ht="15.75" customHeight="1">
      <c r="A93" s="1" t="s">
        <v>217</v>
      </c>
    </row>
    <row r="94" ht="15.75" customHeight="1">
      <c r="A94" s="1" t="s">
        <v>218</v>
      </c>
    </row>
    <row r="95" ht="15.75" customHeight="1">
      <c r="A95" s="1" t="s">
        <v>219</v>
      </c>
    </row>
    <row r="96" ht="15.75" customHeight="1">
      <c r="A96" s="1" t="s">
        <v>220</v>
      </c>
    </row>
    <row r="97" ht="15.75" customHeight="1"/>
    <row r="98" ht="15.75" customHeight="1">
      <c r="A98" s="1" t="s">
        <v>221</v>
      </c>
    </row>
    <row r="99" ht="15.75" customHeight="1"/>
    <row r="100" ht="15.75" customHeight="1">
      <c r="A100" s="1" t="s">
        <v>222</v>
      </c>
    </row>
    <row r="101" ht="15.75" customHeight="1">
      <c r="A101" s="1" t="s">
        <v>223</v>
      </c>
    </row>
    <row r="102" ht="15.75" customHeight="1">
      <c r="A102" s="1" t="s">
        <v>224</v>
      </c>
    </row>
    <row r="103" ht="15.75" customHeight="1">
      <c r="A103" s="1" t="s">
        <v>225</v>
      </c>
    </row>
    <row r="104" ht="15.75" customHeight="1">
      <c r="A104" s="1" t="s">
        <v>226</v>
      </c>
    </row>
    <row r="105" ht="15.75" customHeight="1">
      <c r="A105" s="1" t="s">
        <v>227</v>
      </c>
    </row>
    <row r="106" ht="15.75" customHeight="1"/>
    <row r="107" ht="15.75" customHeight="1">
      <c r="A107" s="1" t="s">
        <v>228</v>
      </c>
    </row>
    <row r="108" ht="15.75" customHeight="1"/>
    <row r="109" ht="15.75" customHeight="1">
      <c r="A109" s="1" t="s">
        <v>229</v>
      </c>
    </row>
    <row r="110" ht="15.75" customHeight="1">
      <c r="A110" s="1" t="s">
        <v>230</v>
      </c>
    </row>
    <row r="111" ht="15.75" customHeight="1">
      <c r="A111" s="1" t="s">
        <v>231</v>
      </c>
    </row>
    <row r="112" ht="15.75" customHeight="1"/>
    <row r="113" ht="15.75" customHeight="1">
      <c r="A113" s="1" t="s">
        <v>232</v>
      </c>
    </row>
    <row r="114" ht="15.75" customHeight="1">
      <c r="A114" s="1" t="s">
        <v>233</v>
      </c>
    </row>
    <row r="115" ht="15.75" customHeight="1"/>
    <row r="116" ht="15.75" customHeight="1">
      <c r="A116" s="1" t="s">
        <v>234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